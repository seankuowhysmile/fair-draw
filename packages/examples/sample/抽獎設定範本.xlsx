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人員名單" sheetId="1" r:id="rId1"/>
    <sheet name="獎項設定" sheetId="2" r:id="rId2"/>
    <sheet name="活動設定" sheetId="3" r:id="rId3"/>
    <sheet name="使用說明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@"/>
    <numFmt numFmtId="201" formatCode="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1"/>
  <sheetViews>
    <sheetView workbookViewId="0" rightToLeft="0"/>
  </sheetViews>
  <sheetData>
    <row r="1">
      <c r="A1" t="str">
        <v>人員編號</v>
      </c>
      <c r="B1" t="str">
        <v>姓名</v>
      </c>
      <c r="C1" t="str">
        <v>部門</v>
      </c>
      <c r="D1" t="str">
        <v>參加抽獎</v>
      </c>
    </row>
    <row r="2">
      <c r="A2" t="str">
        <v>E0001</v>
      </c>
      <c r="B2" t="str">
        <v>範例姓名01</v>
      </c>
      <c r="C2" t="str">
        <v>金屬成型</v>
      </c>
      <c r="D2" t="str">
        <v>是</v>
      </c>
    </row>
    <row r="3">
      <c r="A3" t="str">
        <v>E0002</v>
      </c>
      <c r="B3" t="str">
        <v>範例姓名02</v>
      </c>
      <c r="C3" t="str">
        <v>建設開發</v>
      </c>
      <c r="D3" t="str">
        <v>是</v>
      </c>
    </row>
    <row r="4">
      <c r="A4" t="str">
        <v>E0003</v>
      </c>
      <c r="B4" t="str">
        <v>範例姓名03</v>
      </c>
      <c r="C4" t="str">
        <v>生活創新</v>
      </c>
      <c r="D4" t="str">
        <v>是</v>
      </c>
    </row>
    <row r="5">
      <c r="A5" t="str">
        <v>E0004</v>
      </c>
      <c r="B5" t="str">
        <v>範例姓名04</v>
      </c>
      <c r="C5" t="str">
        <v>集團總部</v>
      </c>
      <c r="D5" t="str">
        <v>是</v>
      </c>
    </row>
    <row r="6">
      <c r="A6" t="str">
        <v>E0005</v>
      </c>
      <c r="B6" t="str">
        <v>範例姓名05</v>
      </c>
      <c r="C6" t="str">
        <v>金屬成型</v>
      </c>
      <c r="D6" t="str">
        <v>是</v>
      </c>
    </row>
    <row r="7">
      <c r="A7" t="str">
        <v>E0006</v>
      </c>
      <c r="B7" t="str">
        <v>範例姓名06</v>
      </c>
      <c r="C7" t="str">
        <v>建設開發</v>
      </c>
      <c r="D7" t="str">
        <v>是</v>
      </c>
    </row>
    <row r="8">
      <c r="A8" t="str">
        <v>E0007</v>
      </c>
      <c r="B8" t="str">
        <v>範例姓名07</v>
      </c>
      <c r="C8" t="str">
        <v>生活創新</v>
      </c>
      <c r="D8" t="str">
        <v>是</v>
      </c>
    </row>
    <row r="9">
      <c r="A9" t="str">
        <v>E0008</v>
      </c>
      <c r="B9" t="str">
        <v>範例姓名08</v>
      </c>
      <c r="C9" t="str">
        <v>集團總部</v>
      </c>
      <c r="D9" t="str">
        <v>是</v>
      </c>
    </row>
    <row r="10">
      <c r="A10" t="str">
        <v>E0009</v>
      </c>
      <c r="B10" t="str">
        <v>範例姓名09</v>
      </c>
      <c r="C10" t="str">
        <v>金屬成型</v>
      </c>
      <c r="D10" t="str">
        <v>是</v>
      </c>
    </row>
    <row r="11">
      <c r="A11" t="str">
        <v>E0010</v>
      </c>
      <c r="B11" t="str">
        <v>範例姓名10</v>
      </c>
      <c r="C11" t="str">
        <v>建設開發</v>
      </c>
      <c r="D11" t="str">
        <v>是</v>
      </c>
    </row>
    <row r="12">
      <c r="A12" t="str">
        <v>E0011</v>
      </c>
      <c r="B12" t="str">
        <v>範例姓名11</v>
      </c>
      <c r="C12" t="str">
        <v>生活創新</v>
      </c>
      <c r="D12" t="str">
        <v>是</v>
      </c>
    </row>
    <row r="13">
      <c r="A13" t="str">
        <v>E0012</v>
      </c>
      <c r="B13" t="str">
        <v>範例姓名12</v>
      </c>
      <c r="C13" t="str">
        <v>集團總部</v>
      </c>
      <c r="D13" t="str">
        <v>是</v>
      </c>
    </row>
    <row r="14">
      <c r="A14" t="str">
        <v>E0013</v>
      </c>
      <c r="B14" t="str">
        <v>範例姓名13</v>
      </c>
      <c r="C14" t="str">
        <v>金屬成型</v>
      </c>
      <c r="D14" t="str">
        <v>是</v>
      </c>
    </row>
    <row r="15">
      <c r="A15" t="str">
        <v>E0014</v>
      </c>
      <c r="B15" t="str">
        <v>範例姓名14</v>
      </c>
      <c r="C15" t="str">
        <v>建設開發</v>
      </c>
      <c r="D15" t="str">
        <v>是</v>
      </c>
    </row>
    <row r="16">
      <c r="A16" t="str">
        <v>E0015</v>
      </c>
      <c r="B16" t="str">
        <v>範例姓名15</v>
      </c>
      <c r="C16" t="str">
        <v>生活創新</v>
      </c>
      <c r="D16" t="str">
        <v>是</v>
      </c>
    </row>
    <row r="17">
      <c r="A17" t="str">
        <v>E0016</v>
      </c>
      <c r="B17" t="str">
        <v>範例姓名16</v>
      </c>
      <c r="C17" t="str">
        <v>集團總部</v>
      </c>
      <c r="D17" t="str">
        <v>是</v>
      </c>
    </row>
    <row r="18">
      <c r="A18" t="str">
        <v>E0017</v>
      </c>
      <c r="B18" t="str">
        <v>範例姓名17</v>
      </c>
      <c r="C18" t="str">
        <v>金屬成型</v>
      </c>
      <c r="D18" t="str">
        <v>是</v>
      </c>
    </row>
    <row r="19">
      <c r="A19" t="str">
        <v>E0018</v>
      </c>
      <c r="B19" t="str">
        <v>範例姓名18</v>
      </c>
      <c r="C19" t="str">
        <v>建設開發</v>
      </c>
      <c r="D19" t="str">
        <v>是</v>
      </c>
    </row>
    <row r="20">
      <c r="A20" t="str">
        <v>E0019</v>
      </c>
      <c r="B20" t="str">
        <v>範例姓名19</v>
      </c>
      <c r="C20" t="str">
        <v>生活創新</v>
      </c>
      <c r="D20" t="str">
        <v>是</v>
      </c>
    </row>
    <row r="21">
      <c r="A21" t="str">
        <v>E0020</v>
      </c>
      <c r="B21" t="str">
        <v>範例姓名20</v>
      </c>
      <c r="C21" t="str">
        <v>集團總部</v>
      </c>
      <c r="D21" t="str">
        <v>是</v>
      </c>
    </row>
    <row r="22">
      <c r="A22" t="str">
        <v>E0021</v>
      </c>
      <c r="B22" t="str">
        <v>範例姓名21</v>
      </c>
      <c r="C22" t="str">
        <v>金屬成型</v>
      </c>
      <c r="D22" t="str">
        <v>是</v>
      </c>
    </row>
    <row r="23">
      <c r="A23" t="str">
        <v>E0022</v>
      </c>
      <c r="B23" t="str">
        <v>範例姓名22</v>
      </c>
      <c r="C23" t="str">
        <v>建設開發</v>
      </c>
      <c r="D23" t="str">
        <v>是</v>
      </c>
    </row>
    <row r="24">
      <c r="A24" t="str">
        <v>E0023</v>
      </c>
      <c r="B24" t="str">
        <v>範例姓名23</v>
      </c>
      <c r="C24" t="str">
        <v>生活創新</v>
      </c>
      <c r="D24" t="str">
        <v>是</v>
      </c>
    </row>
    <row r="25">
      <c r="A25" t="str">
        <v>E0024</v>
      </c>
      <c r="B25" t="str">
        <v>範例姓名24</v>
      </c>
      <c r="C25" t="str">
        <v>集團總部</v>
      </c>
      <c r="D25" t="str">
        <v>是</v>
      </c>
    </row>
  </sheetData>
  <pageMargins left="0.7" right="0.7" top="0.75" bottom="0.75" header="0.3" footer="0.3"/>
  <ignoredErrors>
    <ignoredError numberStoredAsText="1" sqref="A1:D5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01"/>
  <sheetViews>
    <sheetView workbookViewId="0" rightToLeft="0"/>
  </sheetViews>
  <sheetData>
    <row r="1">
      <c r="A1" t="str">
        <v>抽獎順序</v>
      </c>
      <c r="B1" t="str">
        <v>獎項名稱</v>
      </c>
      <c r="C1" t="str">
        <v>獎品說明</v>
      </c>
      <c r="D1" t="str">
        <v>得獎人數</v>
      </c>
      <c r="E1" t="str">
        <v>每次抽出人數</v>
      </c>
    </row>
    <row r="2">
      <c r="A2">
        <v>1</v>
      </c>
      <c r="B2" t="str">
        <v>幸運獎</v>
      </c>
      <c r="C2" t="str">
        <v>禮券 NT$1,000（範例）</v>
      </c>
      <c r="D2">
        <v>10</v>
      </c>
      <c r="E2">
        <v>5</v>
      </c>
    </row>
    <row r="3">
      <c r="A3">
        <v>2</v>
      </c>
      <c r="B3" t="str">
        <v>貳獎</v>
      </c>
      <c r="C3" t="str">
        <v>禮券 NT$5,000（範例）</v>
      </c>
      <c r="D3">
        <v>3</v>
      </c>
      <c r="E3">
        <v>1</v>
      </c>
    </row>
    <row r="4">
      <c r="A4">
        <v>3</v>
      </c>
      <c r="B4" t="str">
        <v>頭獎</v>
      </c>
      <c r="C4" t="str">
        <v>禮券 NT$20,000（範例）</v>
      </c>
      <c r="D4">
        <v>1</v>
      </c>
      <c r="E4">
        <v>1</v>
      </c>
    </row>
  </sheetData>
  <pageMargins left="0.7" right="0.7" top="0.75" bottom="0.75" header="0.3" footer="0.3"/>
  <ignoredErrors>
    <ignoredError numberStoredAsText="1" sqref="A1:E5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sheetData>
    <row r="1">
      <c r="A1" t="str">
        <v>設定項目</v>
      </c>
      <c r="B1" t="str">
        <v>設定值</v>
      </c>
      <c r="C1" t="str">
        <v>說明</v>
      </c>
    </row>
    <row r="2">
      <c r="A2" t="str">
        <v>活動名稱</v>
      </c>
      <c r="B2" t="str">
        <v>幸運抽獎</v>
      </c>
      <c r="C2" t="str">
        <v>顯示在舞台上方；可自行修改。</v>
      </c>
    </row>
    <row r="3">
      <c r="A3" t="str">
        <v>活動副標</v>
      </c>
      <c r="B3" t="str">
        <v>每一份努力，都值得被看見</v>
      </c>
      <c r="C3" t="str">
        <v>可留白。</v>
      </c>
    </row>
    <row r="4">
      <c r="A4" t="str">
        <v>允許重複中獎</v>
      </c>
      <c r="B4" t="str">
        <v>否</v>
      </c>
      <c r="C4" t="str">
        <v>否＝全活動每人限中一次；是＝可中不同獎項，但同一獎項不重複。</v>
      </c>
    </row>
    <row r="5">
      <c r="A5" t="str">
        <v>音效</v>
      </c>
      <c r="B5" t="str">
        <v>是</v>
      </c>
      <c r="C5" t="str">
        <v>是／否；也可在程式中切換。</v>
      </c>
    </row>
    <row r="6">
      <c r="A6" t="str">
        <v>顯示部門</v>
      </c>
      <c r="B6" t="str">
        <v>是</v>
      </c>
      <c r="C6" t="str">
        <v>在得獎卡片上顯示部門。</v>
      </c>
    </row>
    <row r="7">
      <c r="A7" t="str">
        <v>顯示編號</v>
      </c>
      <c r="B7" t="str">
        <v>是</v>
      </c>
      <c r="C7" t="str">
        <v>在得獎卡片上顯示人員編號；同名者建議保留。</v>
      </c>
    </row>
  </sheetData>
  <pageMargins left="0.7" right="0.7" top="0.75" bottom="0.75" header="0.3" footer="0.3"/>
  <ignoredErrors>
    <ignoredError numberStoredAsText="1" sqref="A1:C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5"/>
  <sheetViews>
    <sheetView workbookViewId="0" rightToLeft="0"/>
  </sheetViews>
  <sheetData>
    <row r="1">
      <c r="A1" t="str">
        <v>幸運抽獎｜Excel 設定指南</v>
      </c>
    </row>
    <row r="3">
      <c r="A3" t="str">
        <v>藍字為可修改資料。所有範例姓名、編號與獎項都請在正式活動前替換。</v>
      </c>
    </row>
    <row r="5">
      <c r="A5" t="str">
        <v>範本名單筆數</v>
      </c>
      <c r="B5">
        <f>COUNTA('人員名單'!A2:A5001)</f>
        <v>24</v>
      </c>
      <c r="C5" t="str">
        <v>範本獎項總名額</v>
      </c>
      <c r="D5">
        <f>SUM('獎項設定'!D2:D501)</f>
        <v>14</v>
      </c>
    </row>
    <row r="6">
      <c r="A6" t="str">
        <v>此處統計第 2～5001 列</v>
      </c>
      <c r="C6" t="str">
        <v>程式將重新驗證實際資料</v>
      </c>
    </row>
    <row r="8">
      <c r="A8" t="str">
        <v>01｜人員名單</v>
      </c>
      <c r="B8" t="str">
        <v>第一列標題請保留。每位參加者一列，人員編號與姓名必填；同名可以，編號不得重複。編號已設定為文字，請保留前導零。</v>
      </c>
    </row>
    <row r="9">
      <c r="A9" t="str">
        <v>02｜抽獎資格</v>
      </c>
      <c r="B9" t="str">
        <v>「參加抽獎」填「是」或「否」。欄位空白視為「是」；不參加者不會進入抽獎池。</v>
      </c>
    </row>
    <row r="10">
      <c r="A10" t="str">
        <v>03｜獎項與人數</v>
      </c>
      <c r="B10" t="str">
        <v>依「抽獎順序」由小到大排列。「得獎人數」是該獎總名額，「每次抽出人數」是單輪名額。兩者相同即可一次抽完。</v>
      </c>
    </row>
    <row r="11">
      <c r="A11" t="str">
        <v>04｜活動設定</v>
      </c>
      <c r="B11" t="str">
        <v>填入舞台標題與副標，設定是否允許跨獎項重複中獎。第一輪開獎後不可更改重複中獎規則。</v>
      </c>
    </row>
    <row r="12">
      <c r="A12" t="str">
        <v>05｜啟動程式</v>
      </c>
      <c r="B12" t="str">
        <v>在電腦 Chrome 或 Edge 開啟「幸運抽獎.html」，按「匯入 Excel」並確認預覽。無須安裝或連上網路。</v>
      </c>
    </row>
    <row r="13">
      <c r="A13" t="str">
        <v>06｜現場抽獎</v>
      </c>
      <c r="B13" t="str">
        <v>選獎項 → 開始抽獎 → 停止並揭曉。空白鍵可操作開始／停止；揭曉後先按「繼續」。F 為全螢幕；H 隱藏控制側欄。</v>
      </c>
    </row>
    <row r="14">
      <c r="A14" t="str">
        <v>07｜保存結果</v>
      </c>
      <c r="B14" t="str">
        <v>每轮開獎即記錄結果。會場作業時請定期「備份進度」為 JSON；活動結束「匯出得獎名單」為 Excel。</v>
      </c>
    </row>
    <row r="15">
      <c r="A15" t="str">
        <v>08｜中途還原</v>
      </c>
      <c r="B15" t="str">
        <v>本機暫存不能取代備份：更換瀏覽器、移動 HTML、無痕模式或清理快取可能使暫存無法取回。JSON 備份可還原名單與開獎進度。</v>
      </c>
    </row>
    <row r="16">
      <c r="A16" t="str">
        <v>09｜重新匯入</v>
      </c>
      <c r="B16" t="str">
        <v>重新匯入 Excel 會建立新活動，不會接續舊進度。已開獎活動請用「還原備份」接續，勿重新匯入。</v>
      </c>
    </row>
    <row r="17">
      <c r="A17" t="str">
        <v>10｜作廢與補抽</v>
      </c>
      <c r="B17" t="str">
        <v>得獎者缺席需補抽時，在得獎紀錄中填理由作廢；保留原紀錄、釋出名額，該人仍排除於後續抽選。</v>
      </c>
    </row>
    <row r="18">
      <c r="A18" t="str">
        <v>11｜檔案限制</v>
      </c>
      <c r="B18" t="str">
        <v>使用 .xlsx；不支援 .xls、密碼保護、合併儲存格資料列或公式欄位。公式請先複製、貼上為值。檔案上限 10 MB，最多 50,000 人。</v>
      </c>
    </row>
    <row r="19">
      <c r="A19" t="str">
        <v>12｜正式使用前</v>
      </c>
      <c r="B19" t="str">
        <v>用範例演練後，換上正式名單並核對總人數與各獎名額；設定電腦不要休眠，預先測試投影及音效，僅開啟一個抽獎視窗。</v>
      </c>
    </row>
  </sheetData>
  <mergeCells count="14">
    <mergeCell ref="A1:D2"/>
    <mergeCell ref="A3:D3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</mergeCells>
  <pageMargins left="0.7" right="0.7" top="0.75" bottom="0.75" header="0.3" footer="0.3"/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人員名單</vt:lpstr>
      <vt:lpstr>獎項設定</vt:lpstr>
      <vt:lpstr>活動設定</vt:lpstr>
      <vt:lpstr>使用說明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